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3C51CB3-E89D-4DE1-B526-765234F7F4C5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Aug,25" sheetId="1" r:id="rId1"/>
    <sheet name="Sept,25" sheetId="2" r:id="rId2"/>
    <sheet name="Oct,25" sheetId="3" r:id="rId3"/>
    <sheet name="Nov,25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4" l="1"/>
  <c r="N4" i="4"/>
  <c r="N3" i="4"/>
  <c r="N2" i="4"/>
  <c r="N6" i="4" s="1"/>
  <c r="N8" i="3"/>
  <c r="N4" i="3"/>
  <c r="N3" i="3"/>
  <c r="N2" i="3"/>
  <c r="N6" i="3" s="1"/>
  <c r="N6" i="2"/>
  <c r="N4" i="2"/>
  <c r="N3" i="2"/>
  <c r="N2" i="2"/>
  <c r="N10" i="2" s="1"/>
  <c r="N12" i="2" s="1"/>
  <c r="I4" i="1"/>
  <c r="I3" i="1"/>
  <c r="I2" i="1"/>
  <c r="I7" i="1" s="1"/>
  <c r="K11" i="3" l="1"/>
  <c r="N10" i="3"/>
  <c r="N12" i="3" s="1"/>
  <c r="K11" i="4"/>
  <c r="N10" i="4"/>
  <c r="N12" i="4" s="1"/>
</calcChain>
</file>

<file path=xl/sharedStrings.xml><?xml version="1.0" encoding="utf-8"?>
<sst xmlns="http://schemas.openxmlformats.org/spreadsheetml/2006/main" count="182" uniqueCount="59">
  <si>
    <t>চাল</t>
  </si>
  <si>
    <t>ডাল</t>
  </si>
  <si>
    <t>তেল</t>
  </si>
  <si>
    <t>মুরগি</t>
  </si>
  <si>
    <t>আলু</t>
  </si>
  <si>
    <t>পেয়াজ</t>
  </si>
  <si>
    <t>গুড়া মরিচ</t>
  </si>
  <si>
    <t>কাচা মরিচ</t>
  </si>
  <si>
    <t xml:space="preserve">মুরগির মসলা </t>
  </si>
  <si>
    <t>আদা, জিরা, গরম মশলা, ধনিয়া পাতা</t>
  </si>
  <si>
    <t>Day1=</t>
  </si>
  <si>
    <t>Day2=</t>
  </si>
  <si>
    <t>Day3=</t>
  </si>
  <si>
    <t>Day4=</t>
  </si>
  <si>
    <t>মাছ</t>
  </si>
  <si>
    <t>শাক</t>
  </si>
  <si>
    <t xml:space="preserve">তেল </t>
  </si>
  <si>
    <t>Total=</t>
  </si>
  <si>
    <t>আদা, রসুন</t>
  </si>
  <si>
    <t>পেঁপে</t>
  </si>
  <si>
    <t>জিরা, গরম মশলা, মুরগির মশলা</t>
  </si>
  <si>
    <t>লবণ</t>
  </si>
  <si>
    <t>ভিম বার</t>
  </si>
  <si>
    <t>মোট-১=</t>
  </si>
  <si>
    <t>লাল শাক</t>
  </si>
  <si>
    <t>মোট-২=</t>
  </si>
  <si>
    <t>কচু</t>
  </si>
  <si>
    <t>মোট-৩=</t>
  </si>
  <si>
    <t xml:space="preserve">বরবটি </t>
  </si>
  <si>
    <t xml:space="preserve">পেয়াজ </t>
  </si>
  <si>
    <t xml:space="preserve"> ভিম বার</t>
  </si>
  <si>
    <t>মুরগির মশলা</t>
  </si>
  <si>
    <t>আদা-রসুন</t>
  </si>
  <si>
    <t>মরিচের গুড়া</t>
  </si>
  <si>
    <t>মোট=</t>
  </si>
  <si>
    <t xml:space="preserve"> </t>
  </si>
  <si>
    <t xml:space="preserve">পেঁপে </t>
  </si>
  <si>
    <t>বিবিধ =</t>
  </si>
  <si>
    <t>মিষ্টি কুমড়া</t>
  </si>
  <si>
    <t>দুন্দুল</t>
  </si>
  <si>
    <t>হ্যান্ড ওয়াস</t>
  </si>
  <si>
    <t>হারপিক পাউডার</t>
  </si>
  <si>
    <t>ফেরত দিব=</t>
  </si>
  <si>
    <t xml:space="preserve">গরম মশলা </t>
  </si>
  <si>
    <t>লাউ</t>
  </si>
  <si>
    <t xml:space="preserve">ধনিয়া পাতা </t>
  </si>
  <si>
    <t>করলা</t>
  </si>
  <si>
    <t>মুগ ডাল</t>
  </si>
  <si>
    <t>ঢেঁড়স</t>
  </si>
  <si>
    <t>রসুন</t>
  </si>
  <si>
    <t xml:space="preserve">ডিম </t>
  </si>
  <si>
    <t xml:space="preserve">তেলাপোকার ঔষধ </t>
  </si>
  <si>
    <t>পুই শাক</t>
  </si>
  <si>
    <t>মিল রেইট=</t>
  </si>
  <si>
    <t>মোট বাজার=</t>
  </si>
  <si>
    <t>মিল সংখ্যা=</t>
  </si>
  <si>
    <t>পালংশাক</t>
  </si>
  <si>
    <t>ফুলকপি</t>
  </si>
  <si>
    <t>সিম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</si>
</sst>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5000000]dd/mm/yy"/>
    <numFmt numFmtId="165" formatCode="[$-5000445]0"/>
  </numFmts>
  <fonts count="5" x14ac:knownFonts="1">
    <font>
      <sz val="11"/>
      <name val="Arial"/>
    </font>
    <font>
      <sz val="11"/>
      <name val="Arial"/>
      <family val="2"/>
    </font>
    <font>
      <sz val="11"/>
      <name val="Arial"/>
      <family val="2"/>
    </font>
    <font>
      <sz val="11"/>
      <name val="Calibri"/>
      <family val="2"/>
    </font>
    <font>
      <sz val="12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165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www.wps.cn/officeDocument/2020/cellImage" Target="NUL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zoomScale="120" workbookViewId="0">
      <selection activeCell="A6" sqref="A6"/>
    </sheetView>
  </sheetViews>
  <sheetFormatPr defaultColWidth="10" defaultRowHeight="14.25" x14ac:dyDescent="0.2"/>
  <cols>
    <col min="1" max="16384" width="10" style="1"/>
  </cols>
  <sheetData>
    <row r="1" spans="1:9" x14ac:dyDescent="0.2">
      <c r="A1" s="13">
        <v>45873</v>
      </c>
      <c r="B1" s="13"/>
      <c r="C1" s="13">
        <v>45874</v>
      </c>
      <c r="D1" s="13"/>
      <c r="E1" s="13">
        <v>45875</v>
      </c>
      <c r="F1" s="13"/>
    </row>
    <row r="2" spans="1:9" x14ac:dyDescent="0.2">
      <c r="A2" s="2" t="s">
        <v>0</v>
      </c>
      <c r="B2" s="3">
        <v>195</v>
      </c>
      <c r="C2" s="2" t="s">
        <v>1</v>
      </c>
      <c r="D2" s="3">
        <v>100</v>
      </c>
      <c r="E2" s="2" t="s">
        <v>14</v>
      </c>
      <c r="F2" s="3">
        <v>307</v>
      </c>
      <c r="H2" s="2" t="s">
        <v>10</v>
      </c>
      <c r="I2" s="1">
        <f>SUM(B1:B50)</f>
        <v>965</v>
      </c>
    </row>
    <row r="3" spans="1:9" x14ac:dyDescent="0.2">
      <c r="A3" s="2" t="s">
        <v>1</v>
      </c>
      <c r="B3" s="3">
        <v>55</v>
      </c>
      <c r="C3" s="2" t="s">
        <v>3</v>
      </c>
      <c r="D3" s="3">
        <v>220</v>
      </c>
      <c r="E3" s="2" t="s">
        <v>4</v>
      </c>
      <c r="F3" s="3">
        <v>50</v>
      </c>
      <c r="H3" s="2" t="s">
        <v>11</v>
      </c>
      <c r="I3" s="1">
        <f>SUM(D2:D50)</f>
        <v>765</v>
      </c>
    </row>
    <row r="4" spans="1:9" ht="15" x14ac:dyDescent="0.2">
      <c r="A4" s="2" t="s">
        <v>2</v>
      </c>
      <c r="B4" s="3">
        <v>195</v>
      </c>
      <c r="C4" s="2" t="s">
        <v>18</v>
      </c>
      <c r="D4" s="3">
        <v>50</v>
      </c>
      <c r="E4" s="2" t="s">
        <v>5</v>
      </c>
      <c r="F4" s="3">
        <v>40</v>
      </c>
      <c r="H4" s="2" t="s">
        <v>12</v>
      </c>
      <c r="I4" s="4">
        <f>SUM(F2:F52)</f>
        <v>702</v>
      </c>
    </row>
    <row r="5" spans="1:9" x14ac:dyDescent="0.2">
      <c r="A5" s="2" t="s">
        <v>3</v>
      </c>
      <c r="B5" s="3">
        <v>250</v>
      </c>
      <c r="C5" s="2" t="s">
        <v>20</v>
      </c>
      <c r="D5" s="3">
        <v>80</v>
      </c>
      <c r="E5" s="2" t="s">
        <v>15</v>
      </c>
      <c r="F5" s="3">
        <v>30</v>
      </c>
      <c r="H5" s="2" t="s">
        <v>13</v>
      </c>
    </row>
    <row r="6" spans="1:9" x14ac:dyDescent="0.2">
      <c r="A6" s="2" t="s">
        <v>4</v>
      </c>
      <c r="B6" s="3">
        <v>50</v>
      </c>
      <c r="C6" s="2" t="s">
        <v>0</v>
      </c>
      <c r="D6" s="3">
        <v>195</v>
      </c>
      <c r="E6" s="2" t="s">
        <v>0</v>
      </c>
      <c r="F6" s="3">
        <v>165</v>
      </c>
    </row>
    <row r="7" spans="1:9" x14ac:dyDescent="0.2">
      <c r="A7" s="2" t="s">
        <v>5</v>
      </c>
      <c r="B7" s="3">
        <v>35</v>
      </c>
      <c r="C7" s="2" t="s">
        <v>19</v>
      </c>
      <c r="D7" s="3">
        <v>40</v>
      </c>
      <c r="E7" s="2" t="s">
        <v>16</v>
      </c>
      <c r="F7" s="3">
        <v>95</v>
      </c>
      <c r="H7" s="2" t="s">
        <v>17</v>
      </c>
      <c r="I7" s="1">
        <f>SUM(I2:I5)</f>
        <v>2432</v>
      </c>
    </row>
    <row r="8" spans="1:9" x14ac:dyDescent="0.2">
      <c r="A8" s="2" t="s">
        <v>6</v>
      </c>
      <c r="B8" s="3">
        <v>40</v>
      </c>
      <c r="C8" s="2" t="s">
        <v>7</v>
      </c>
      <c r="D8" s="3">
        <v>20</v>
      </c>
      <c r="E8" s="2" t="s">
        <v>22</v>
      </c>
      <c r="F8" s="3">
        <v>15</v>
      </c>
    </row>
    <row r="9" spans="1:9" x14ac:dyDescent="0.2">
      <c r="A9" s="2" t="s">
        <v>7</v>
      </c>
      <c r="B9" s="3">
        <v>20</v>
      </c>
      <c r="C9" s="2" t="s">
        <v>5</v>
      </c>
      <c r="D9" s="3">
        <v>40</v>
      </c>
    </row>
    <row r="10" spans="1:9" x14ac:dyDescent="0.2">
      <c r="A10" s="2" t="s">
        <v>8</v>
      </c>
      <c r="B10" s="3">
        <v>20</v>
      </c>
      <c r="C10" s="2" t="s">
        <v>21</v>
      </c>
      <c r="D10" s="3">
        <v>20</v>
      </c>
    </row>
    <row r="11" spans="1:9" x14ac:dyDescent="0.2">
      <c r="A11" s="2" t="s">
        <v>9</v>
      </c>
      <c r="B11" s="3">
        <v>105</v>
      </c>
    </row>
  </sheetData>
  <mergeCells count="3">
    <mergeCell ref="A1:B1"/>
    <mergeCell ref="C1:D1"/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"/>
  <sheetViews>
    <sheetView topLeftCell="D1" zoomScale="120" workbookViewId="0">
      <selection sqref="A1:O14"/>
    </sheetView>
  </sheetViews>
  <sheetFormatPr defaultColWidth="10" defaultRowHeight="14.25" x14ac:dyDescent="0.2"/>
  <cols>
    <col min="1" max="16384" width="10" style="1"/>
  </cols>
  <sheetData>
    <row r="1" spans="1:15" x14ac:dyDescent="0.2">
      <c r="A1" s="14">
        <v>45910</v>
      </c>
      <c r="B1" s="14"/>
      <c r="C1" s="5"/>
      <c r="D1" s="14">
        <v>45911</v>
      </c>
      <c r="E1" s="14"/>
      <c r="F1" s="5"/>
      <c r="G1" s="14">
        <v>45913</v>
      </c>
      <c r="H1" s="14"/>
      <c r="I1" s="5"/>
      <c r="J1" s="5"/>
      <c r="K1" s="5"/>
      <c r="L1" s="5"/>
      <c r="M1" s="5"/>
      <c r="N1" s="5"/>
      <c r="O1" s="5"/>
    </row>
    <row r="2" spans="1:15" x14ac:dyDescent="0.2">
      <c r="A2" s="5" t="s">
        <v>3</v>
      </c>
      <c r="B2" s="6">
        <v>360</v>
      </c>
      <c r="C2" s="5"/>
      <c r="D2" s="7" t="s">
        <v>14</v>
      </c>
      <c r="E2" s="6">
        <v>380</v>
      </c>
      <c r="F2" s="5"/>
      <c r="G2" s="5" t="s">
        <v>24</v>
      </c>
      <c r="H2" s="6">
        <v>30</v>
      </c>
      <c r="I2" s="5"/>
      <c r="J2" s="5"/>
      <c r="K2" s="5"/>
      <c r="L2" s="5"/>
      <c r="M2" s="5" t="s">
        <v>23</v>
      </c>
      <c r="N2" s="6">
        <f>SUM(B2:B44)</f>
        <v>1048</v>
      </c>
      <c r="O2" s="5"/>
    </row>
    <row r="3" spans="1:15" x14ac:dyDescent="0.2">
      <c r="A3" s="5" t="s">
        <v>24</v>
      </c>
      <c r="B3" s="6">
        <v>30</v>
      </c>
      <c r="C3" s="5"/>
      <c r="D3" s="7" t="s">
        <v>36</v>
      </c>
      <c r="E3" s="6">
        <v>45</v>
      </c>
      <c r="F3" s="5"/>
      <c r="G3" s="5" t="s">
        <v>28</v>
      </c>
      <c r="H3" s="6">
        <v>40</v>
      </c>
      <c r="I3" s="5"/>
      <c r="J3" s="5"/>
      <c r="K3" s="5"/>
      <c r="L3" s="5"/>
      <c r="M3" s="5" t="s">
        <v>25</v>
      </c>
      <c r="N3" s="6">
        <f>SUM(E2:E25)</f>
        <v>1075</v>
      </c>
      <c r="O3" s="5"/>
    </row>
    <row r="4" spans="1:15" x14ac:dyDescent="0.2">
      <c r="A4" s="5" t="s">
        <v>26</v>
      </c>
      <c r="B4" s="6">
        <v>50</v>
      </c>
      <c r="C4" s="5"/>
      <c r="D4" s="5" t="s">
        <v>7</v>
      </c>
      <c r="E4" s="6">
        <v>20</v>
      </c>
      <c r="F4" s="5"/>
      <c r="G4" s="5" t="s">
        <v>0</v>
      </c>
      <c r="H4" s="6">
        <v>163</v>
      </c>
      <c r="I4" s="5"/>
      <c r="J4" s="7" t="s">
        <v>40</v>
      </c>
      <c r="K4" s="6">
        <v>85</v>
      </c>
      <c r="L4" s="5"/>
      <c r="M4" s="5" t="s">
        <v>27</v>
      </c>
      <c r="N4" s="6">
        <f>SUM(H2:H17)</f>
        <v>471</v>
      </c>
      <c r="O4" s="5"/>
    </row>
    <row r="5" spans="1:15" x14ac:dyDescent="0.2">
      <c r="A5" s="5" t="s">
        <v>28</v>
      </c>
      <c r="B5" s="6">
        <v>40</v>
      </c>
      <c r="C5" s="5"/>
      <c r="D5" s="5" t="s">
        <v>0</v>
      </c>
      <c r="E5" s="6">
        <v>195</v>
      </c>
      <c r="F5" s="5"/>
      <c r="G5" s="5" t="s">
        <v>29</v>
      </c>
      <c r="H5" s="6">
        <v>20</v>
      </c>
      <c r="I5" s="5"/>
      <c r="J5" s="7" t="s">
        <v>41</v>
      </c>
      <c r="K5" s="6">
        <v>210</v>
      </c>
      <c r="L5" s="5"/>
      <c r="M5" s="5"/>
      <c r="N5" s="5"/>
      <c r="O5" s="5"/>
    </row>
    <row r="6" spans="1:15" x14ac:dyDescent="0.2">
      <c r="A6" s="5" t="s">
        <v>7</v>
      </c>
      <c r="B6" s="6">
        <v>20</v>
      </c>
      <c r="C6" s="5"/>
      <c r="D6" s="5" t="s">
        <v>29</v>
      </c>
      <c r="E6" s="6">
        <v>40</v>
      </c>
      <c r="F6" s="7" t="s">
        <v>35</v>
      </c>
      <c r="G6" s="5" t="s">
        <v>4</v>
      </c>
      <c r="H6" s="6">
        <v>50</v>
      </c>
      <c r="I6" s="5"/>
      <c r="J6" s="5"/>
      <c r="K6" s="5"/>
      <c r="L6" s="5"/>
      <c r="M6" s="2" t="s">
        <v>37</v>
      </c>
      <c r="N6" s="3">
        <f>SUM(K4:K5)</f>
        <v>295</v>
      </c>
      <c r="O6" s="5"/>
    </row>
    <row r="7" spans="1:15" x14ac:dyDescent="0.2">
      <c r="A7" s="5" t="s">
        <v>0</v>
      </c>
      <c r="B7" s="6">
        <v>195</v>
      </c>
      <c r="C7" s="5"/>
      <c r="D7" s="5" t="s">
        <v>4</v>
      </c>
      <c r="E7" s="6">
        <v>45</v>
      </c>
      <c r="F7" s="7" t="s">
        <v>35</v>
      </c>
      <c r="G7" s="5" t="s">
        <v>2</v>
      </c>
      <c r="H7" s="6">
        <v>98</v>
      </c>
      <c r="I7" s="5"/>
      <c r="J7" s="5"/>
      <c r="K7" s="5"/>
      <c r="L7" s="5"/>
      <c r="M7" s="5"/>
      <c r="N7" s="5"/>
      <c r="O7" s="5"/>
    </row>
    <row r="8" spans="1:15" x14ac:dyDescent="0.2">
      <c r="A8" s="5" t="s">
        <v>29</v>
      </c>
      <c r="B8" s="6">
        <v>40</v>
      </c>
      <c r="C8" s="5"/>
      <c r="D8" s="5" t="s">
        <v>2</v>
      </c>
      <c r="E8" s="6">
        <v>190</v>
      </c>
      <c r="F8" s="5"/>
      <c r="G8" s="5" t="s">
        <v>31</v>
      </c>
      <c r="H8" s="6">
        <v>20</v>
      </c>
      <c r="I8" s="5"/>
      <c r="J8" s="5"/>
      <c r="K8" s="5"/>
      <c r="L8" s="7" t="s">
        <v>35</v>
      </c>
      <c r="M8" s="5"/>
      <c r="N8" s="5"/>
      <c r="O8" s="5"/>
    </row>
    <row r="9" spans="1:15" x14ac:dyDescent="0.2">
      <c r="A9" s="5" t="s">
        <v>4</v>
      </c>
      <c r="B9" s="6">
        <v>50</v>
      </c>
      <c r="C9" s="5"/>
      <c r="D9" s="5" t="s">
        <v>1</v>
      </c>
      <c r="E9" s="6">
        <v>50</v>
      </c>
      <c r="F9" s="5"/>
      <c r="G9" s="5" t="s">
        <v>1</v>
      </c>
      <c r="H9" s="6">
        <v>50</v>
      </c>
      <c r="I9" s="5"/>
      <c r="J9" s="5"/>
      <c r="K9" s="5"/>
      <c r="L9" s="5"/>
      <c r="M9" s="5"/>
      <c r="N9" s="5"/>
      <c r="O9" s="5"/>
    </row>
    <row r="10" spans="1:15" x14ac:dyDescent="0.2">
      <c r="A10" s="5" t="s">
        <v>2</v>
      </c>
      <c r="B10" s="6">
        <v>98</v>
      </c>
      <c r="C10" s="5"/>
      <c r="D10" s="2" t="s">
        <v>38</v>
      </c>
      <c r="E10" s="3">
        <v>20</v>
      </c>
      <c r="F10" s="5"/>
      <c r="I10" s="5"/>
      <c r="J10" s="5"/>
      <c r="K10" s="5"/>
      <c r="L10" s="5"/>
      <c r="M10" s="7" t="s">
        <v>34</v>
      </c>
      <c r="N10" s="6">
        <f>SUM(N2:N6)</f>
        <v>2889</v>
      </c>
      <c r="O10" s="5"/>
    </row>
    <row r="11" spans="1:15" x14ac:dyDescent="0.2">
      <c r="A11" s="5" t="s">
        <v>30</v>
      </c>
      <c r="B11" s="6">
        <v>15</v>
      </c>
      <c r="C11" s="5"/>
      <c r="D11" s="2" t="s">
        <v>39</v>
      </c>
      <c r="E11" s="3">
        <v>50</v>
      </c>
      <c r="F11" s="5"/>
      <c r="I11" s="5"/>
      <c r="J11" s="5"/>
      <c r="K11" s="5"/>
      <c r="L11" s="5"/>
      <c r="M11" s="5"/>
      <c r="N11" s="5"/>
      <c r="O11" s="5"/>
    </row>
    <row r="12" spans="1:15" x14ac:dyDescent="0.2">
      <c r="A12" s="5" t="s">
        <v>31</v>
      </c>
      <c r="B12" s="6">
        <v>20</v>
      </c>
      <c r="C12" s="5"/>
      <c r="D12" s="2" t="s">
        <v>21</v>
      </c>
      <c r="E12" s="3">
        <v>40</v>
      </c>
      <c r="F12" s="5"/>
      <c r="I12" s="5"/>
      <c r="J12" s="5"/>
      <c r="K12" s="5"/>
      <c r="L12" s="5"/>
      <c r="M12" s="7" t="s">
        <v>42</v>
      </c>
      <c r="N12" s="6">
        <f>3000-N10</f>
        <v>111</v>
      </c>
      <c r="O12" s="5"/>
    </row>
    <row r="13" spans="1:15" x14ac:dyDescent="0.2">
      <c r="A13" s="5" t="s">
        <v>32</v>
      </c>
      <c r="B13" s="6">
        <v>40</v>
      </c>
      <c r="C13" s="5"/>
      <c r="F13" s="5"/>
      <c r="I13" s="5"/>
      <c r="J13" s="5"/>
      <c r="K13" s="5"/>
      <c r="L13" s="5"/>
      <c r="M13" s="5"/>
      <c r="N13" s="5"/>
      <c r="O13" s="5"/>
    </row>
    <row r="14" spans="1:15" x14ac:dyDescent="0.2">
      <c r="A14" s="5" t="s">
        <v>1</v>
      </c>
      <c r="B14" s="6">
        <v>50</v>
      </c>
      <c r="C14" s="5"/>
      <c r="F14" s="5"/>
      <c r="I14" s="5"/>
      <c r="J14" s="6"/>
      <c r="K14" s="5"/>
      <c r="L14" s="5"/>
      <c r="M14" s="5"/>
      <c r="N14" s="5"/>
      <c r="O14" s="5"/>
    </row>
    <row r="15" spans="1:15" x14ac:dyDescent="0.2">
      <c r="A15" s="5" t="s">
        <v>33</v>
      </c>
      <c r="B15" s="6">
        <v>40</v>
      </c>
      <c r="C15" s="5"/>
      <c r="D15" s="7" t="s">
        <v>35</v>
      </c>
      <c r="E15" s="6"/>
      <c r="F15" s="5"/>
      <c r="G15" s="5"/>
      <c r="H15" s="8" t="s">
        <v>35</v>
      </c>
      <c r="I15" s="5"/>
      <c r="J15" s="5"/>
      <c r="K15" s="5"/>
      <c r="L15" s="5"/>
      <c r="M15" s="5"/>
      <c r="N15" s="5"/>
      <c r="O15" s="5"/>
    </row>
    <row r="16" spans="1:15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</sheetData>
  <mergeCells count="3">
    <mergeCell ref="A1:B1"/>
    <mergeCell ref="D1:E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"/>
  <sheetViews>
    <sheetView workbookViewId="0">
      <selection activeCell="F17" sqref="A1:XFD1048576"/>
    </sheetView>
  </sheetViews>
  <sheetFormatPr defaultColWidth="10" defaultRowHeight="17.25" x14ac:dyDescent="0.2"/>
  <cols>
    <col min="1" max="1" width="12.625" style="9" bestFit="1" customWidth="1"/>
    <col min="2" max="3" width="10" style="9"/>
    <col min="4" max="4" width="10.75" style="9" bestFit="1" customWidth="1"/>
    <col min="5" max="6" width="10" style="9"/>
    <col min="7" max="7" width="12.625" style="9" bestFit="1" customWidth="1"/>
    <col min="8" max="9" width="10" style="9"/>
    <col min="10" max="10" width="18.625" style="9" bestFit="1" customWidth="1"/>
    <col min="11" max="12" width="10" style="9"/>
    <col min="13" max="13" width="12.5" style="9" bestFit="1" customWidth="1"/>
    <col min="14" max="16384" width="10" style="9"/>
  </cols>
  <sheetData>
    <row r="1" spans="1:15" x14ac:dyDescent="0.3">
      <c r="A1" s="15">
        <v>45951</v>
      </c>
      <c r="B1" s="15"/>
      <c r="C1" s="10"/>
      <c r="D1" s="15">
        <v>45952</v>
      </c>
      <c r="E1" s="15"/>
      <c r="F1" s="10"/>
      <c r="G1" s="15">
        <v>45953</v>
      </c>
      <c r="H1" s="15"/>
      <c r="I1" s="10"/>
      <c r="J1" s="10"/>
      <c r="K1" s="10"/>
      <c r="L1" s="10"/>
      <c r="M1" s="10"/>
      <c r="N1" s="10"/>
      <c r="O1" s="10"/>
    </row>
    <row r="2" spans="1:15" x14ac:dyDescent="0.3">
      <c r="A2" s="10" t="s">
        <v>45</v>
      </c>
      <c r="B2" s="11">
        <v>10</v>
      </c>
      <c r="C2" s="10"/>
      <c r="D2" s="10" t="s">
        <v>45</v>
      </c>
      <c r="E2" s="11">
        <v>10</v>
      </c>
      <c r="F2" s="10"/>
      <c r="G2" s="10" t="s">
        <v>45</v>
      </c>
      <c r="H2" s="11">
        <v>10</v>
      </c>
      <c r="I2" s="10"/>
      <c r="J2" s="10"/>
      <c r="K2" s="10"/>
      <c r="L2" s="10"/>
      <c r="M2" s="10" t="s">
        <v>23</v>
      </c>
      <c r="N2" s="11">
        <f>SUM(B2:B44)</f>
        <v>860</v>
      </c>
      <c r="O2" s="10"/>
    </row>
    <row r="3" spans="1:15" x14ac:dyDescent="0.3">
      <c r="A3" s="10" t="s">
        <v>44</v>
      </c>
      <c r="B3" s="11">
        <v>50</v>
      </c>
      <c r="C3" s="10"/>
      <c r="D3" s="10" t="s">
        <v>36</v>
      </c>
      <c r="E3" s="11">
        <v>40</v>
      </c>
      <c r="F3" s="10"/>
      <c r="G3" s="10" t="s">
        <v>7</v>
      </c>
      <c r="H3" s="11">
        <v>20</v>
      </c>
      <c r="I3" s="10"/>
      <c r="J3" s="10"/>
      <c r="K3" s="10"/>
      <c r="L3" s="10"/>
      <c r="M3" s="10" t="s">
        <v>25</v>
      </c>
      <c r="N3" s="11">
        <f>SUM(E2:E25)</f>
        <v>505</v>
      </c>
      <c r="O3" s="10"/>
    </row>
    <row r="4" spans="1:15" x14ac:dyDescent="0.3">
      <c r="A4" s="10" t="s">
        <v>36</v>
      </c>
      <c r="B4" s="11">
        <v>30</v>
      </c>
      <c r="C4" s="10"/>
      <c r="D4" s="10" t="s">
        <v>7</v>
      </c>
      <c r="E4" s="11">
        <v>20</v>
      </c>
      <c r="F4" s="10"/>
      <c r="G4" s="10" t="s">
        <v>0</v>
      </c>
      <c r="H4" s="11">
        <v>195</v>
      </c>
      <c r="I4" s="10"/>
      <c r="J4" s="10" t="s">
        <v>51</v>
      </c>
      <c r="K4" s="11">
        <v>40</v>
      </c>
      <c r="L4" s="10"/>
      <c r="M4" s="10" t="s">
        <v>27</v>
      </c>
      <c r="N4" s="11">
        <f>SUM(H2:H17)</f>
        <v>757</v>
      </c>
      <c r="O4" s="10"/>
    </row>
    <row r="5" spans="1:15" x14ac:dyDescent="0.3">
      <c r="A5" s="10" t="s">
        <v>43</v>
      </c>
      <c r="B5" s="11">
        <v>35</v>
      </c>
      <c r="C5" s="10"/>
      <c r="D5" s="10" t="s">
        <v>0</v>
      </c>
      <c r="E5" s="11">
        <v>195</v>
      </c>
      <c r="F5" s="10"/>
      <c r="G5" s="10" t="s">
        <v>29</v>
      </c>
      <c r="H5" s="11">
        <v>20</v>
      </c>
      <c r="I5" s="10"/>
      <c r="J5" s="10"/>
      <c r="K5" s="11"/>
      <c r="L5" s="10"/>
      <c r="M5" s="10"/>
      <c r="N5" s="10"/>
      <c r="O5" s="10"/>
    </row>
    <row r="6" spans="1:15" x14ac:dyDescent="0.3">
      <c r="A6" s="10" t="s">
        <v>7</v>
      </c>
      <c r="B6" s="11">
        <v>20</v>
      </c>
      <c r="C6" s="10"/>
      <c r="D6" s="10" t="s">
        <v>4</v>
      </c>
      <c r="E6" s="11">
        <v>45</v>
      </c>
      <c r="F6" s="10" t="s">
        <v>35</v>
      </c>
      <c r="G6" s="10" t="s">
        <v>4</v>
      </c>
      <c r="H6" s="11">
        <v>40</v>
      </c>
      <c r="I6" s="10"/>
      <c r="J6" s="10"/>
      <c r="K6" s="10"/>
      <c r="L6" s="10"/>
      <c r="M6" s="9" t="s">
        <v>54</v>
      </c>
      <c r="N6" s="12">
        <f>SUM(N2:N4)</f>
        <v>2122</v>
      </c>
      <c r="O6" s="10"/>
    </row>
    <row r="7" spans="1:15" x14ac:dyDescent="0.3">
      <c r="A7" s="10" t="s">
        <v>0</v>
      </c>
      <c r="B7" s="11">
        <v>195</v>
      </c>
      <c r="C7" s="10"/>
      <c r="D7" s="10" t="s">
        <v>15</v>
      </c>
      <c r="E7" s="11">
        <v>35</v>
      </c>
      <c r="F7" s="10" t="s">
        <v>35</v>
      </c>
      <c r="G7" s="10" t="s">
        <v>48</v>
      </c>
      <c r="H7" s="11">
        <v>30</v>
      </c>
      <c r="I7" s="10"/>
      <c r="J7" s="10"/>
      <c r="K7" s="10"/>
      <c r="L7" s="10"/>
      <c r="M7" s="10"/>
      <c r="N7" s="10"/>
      <c r="O7" s="10"/>
    </row>
    <row r="8" spans="1:15" x14ac:dyDescent="0.3">
      <c r="A8" s="10" t="s">
        <v>29</v>
      </c>
      <c r="B8" s="11">
        <v>80</v>
      </c>
      <c r="C8" s="10"/>
      <c r="D8" s="10" t="s">
        <v>1</v>
      </c>
      <c r="E8" s="11">
        <v>100</v>
      </c>
      <c r="F8" s="10"/>
      <c r="G8" s="10" t="s">
        <v>3</v>
      </c>
      <c r="H8" s="11">
        <v>220</v>
      </c>
      <c r="I8" s="10"/>
      <c r="J8" s="10"/>
      <c r="K8" s="10"/>
      <c r="L8" s="10" t="s">
        <v>35</v>
      </c>
      <c r="M8" s="9" t="s">
        <v>37</v>
      </c>
      <c r="N8" s="12">
        <f>SUM(K4:K5)</f>
        <v>40</v>
      </c>
      <c r="O8" s="10"/>
    </row>
    <row r="9" spans="1:15" x14ac:dyDescent="0.3">
      <c r="A9" s="10" t="s">
        <v>4</v>
      </c>
      <c r="B9" s="11">
        <v>40</v>
      </c>
      <c r="C9" s="10"/>
      <c r="D9" s="9" t="s">
        <v>38</v>
      </c>
      <c r="E9" s="12">
        <v>20</v>
      </c>
      <c r="F9" s="10"/>
      <c r="G9" s="10" t="s">
        <v>47</v>
      </c>
      <c r="H9" s="11">
        <v>50</v>
      </c>
      <c r="I9" s="10"/>
      <c r="J9" s="10"/>
      <c r="K9" s="10"/>
      <c r="L9" s="10"/>
      <c r="M9" s="10"/>
      <c r="N9" s="10"/>
      <c r="O9" s="10"/>
    </row>
    <row r="10" spans="1:15" x14ac:dyDescent="0.3">
      <c r="A10" s="10" t="s">
        <v>2</v>
      </c>
      <c r="B10" s="11">
        <v>190</v>
      </c>
      <c r="C10" s="10"/>
      <c r="D10" s="9" t="s">
        <v>39</v>
      </c>
      <c r="E10" s="12">
        <v>40</v>
      </c>
      <c r="F10" s="10"/>
      <c r="G10" s="9" t="s">
        <v>49</v>
      </c>
      <c r="H10" s="12">
        <v>20</v>
      </c>
      <c r="I10" s="10"/>
      <c r="J10" s="10" t="s">
        <v>55</v>
      </c>
      <c r="K10" s="11">
        <v>53</v>
      </c>
      <c r="L10" s="10"/>
      <c r="M10" s="10" t="s">
        <v>34</v>
      </c>
      <c r="N10" s="11">
        <f>N6+N8</f>
        <v>2162</v>
      </c>
      <c r="O10" s="10"/>
    </row>
    <row r="11" spans="1:15" x14ac:dyDescent="0.3">
      <c r="A11" s="10" t="s">
        <v>30</v>
      </c>
      <c r="B11" s="11">
        <v>15</v>
      </c>
      <c r="C11" s="10"/>
      <c r="F11" s="10"/>
      <c r="G11" s="9" t="s">
        <v>50</v>
      </c>
      <c r="H11" s="12">
        <v>72</v>
      </c>
      <c r="I11" s="10"/>
      <c r="J11" s="10" t="s">
        <v>53</v>
      </c>
      <c r="K11" s="10">
        <f>N6/K10</f>
        <v>40.037735849056602</v>
      </c>
      <c r="L11" s="10"/>
      <c r="M11" s="10"/>
      <c r="N11" s="10"/>
      <c r="O11" s="10"/>
    </row>
    <row r="12" spans="1:15" x14ac:dyDescent="0.3">
      <c r="A12" s="10" t="s">
        <v>31</v>
      </c>
      <c r="B12" s="11">
        <v>20</v>
      </c>
      <c r="C12" s="10"/>
      <c r="E12" s="12"/>
      <c r="F12" s="10"/>
      <c r="G12" s="9" t="s">
        <v>52</v>
      </c>
      <c r="H12" s="12">
        <v>80</v>
      </c>
      <c r="I12" s="10"/>
      <c r="J12" s="10"/>
      <c r="K12" s="10"/>
      <c r="L12" s="10"/>
      <c r="M12" s="10" t="s">
        <v>42</v>
      </c>
      <c r="N12" s="11">
        <f>1800-N10</f>
        <v>-362</v>
      </c>
      <c r="O12" s="10"/>
    </row>
    <row r="13" spans="1:15" x14ac:dyDescent="0.3">
      <c r="A13" s="10" t="s">
        <v>32</v>
      </c>
      <c r="B13" s="11">
        <v>50</v>
      </c>
      <c r="C13" s="10"/>
      <c r="F13" s="10"/>
      <c r="I13" s="10"/>
      <c r="J13" s="10"/>
      <c r="K13" s="10"/>
      <c r="L13" s="10"/>
      <c r="M13" s="10"/>
      <c r="N13" s="10"/>
      <c r="O13" s="10"/>
    </row>
    <row r="14" spans="1:15" x14ac:dyDescent="0.3">
      <c r="A14" s="10" t="s">
        <v>1</v>
      </c>
      <c r="B14" s="11">
        <v>50</v>
      </c>
      <c r="C14" s="10"/>
      <c r="F14" s="10"/>
      <c r="I14" s="10"/>
      <c r="J14" s="11"/>
      <c r="K14" s="10"/>
      <c r="L14" s="10"/>
      <c r="M14" s="10"/>
      <c r="N14" s="10"/>
      <c r="O14" s="10"/>
    </row>
    <row r="15" spans="1:15" x14ac:dyDescent="0.2">
      <c r="A15" s="9" t="s">
        <v>21</v>
      </c>
      <c r="B15" s="12">
        <v>40</v>
      </c>
      <c r="E15" s="9" t="s">
        <v>35</v>
      </c>
    </row>
    <row r="16" spans="1:15" x14ac:dyDescent="0.2">
      <c r="A16" s="9" t="s">
        <v>46</v>
      </c>
      <c r="B16" s="12">
        <v>35</v>
      </c>
    </row>
    <row r="17" spans="3:6" x14ac:dyDescent="0.2">
      <c r="C17" s="9" t="s">
        <v>35</v>
      </c>
      <c r="F17" s="9" t="s">
        <v>35</v>
      </c>
    </row>
  </sheetData>
  <mergeCells count="3">
    <mergeCell ref="A1:B1"/>
    <mergeCell ref="D1:E1"/>
    <mergeCell ref="G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7"/>
  <sheetViews>
    <sheetView tabSelected="1" zoomScale="99" workbookViewId="0">
      <selection activeCell="D12" sqref="D12"/>
    </sheetView>
  </sheetViews>
  <sheetFormatPr defaultColWidth="10" defaultRowHeight="17.25" x14ac:dyDescent="0.2"/>
  <cols>
    <col min="1" max="1" width="12.625" style="9" bestFit="1" customWidth="1"/>
    <col min="2" max="3" width="10" style="9"/>
    <col min="4" max="4" width="10.75" style="9" bestFit="1" customWidth="1"/>
    <col min="5" max="6" width="10" style="9"/>
    <col min="7" max="7" width="12.625" style="9" bestFit="1" customWidth="1"/>
    <col min="8" max="9" width="10" style="9"/>
    <col min="10" max="10" width="18.625" style="9" bestFit="1" customWidth="1"/>
    <col min="11" max="11" width="12.125" style="9" bestFit="1" customWidth="1"/>
    <col min="12" max="12" width="10" style="9"/>
    <col min="13" max="13" width="12.5" style="9" bestFit="1" customWidth="1"/>
    <col min="14" max="16384" width="10" style="9"/>
  </cols>
  <sheetData>
    <row r="1" spans="1:15" x14ac:dyDescent="0.3">
      <c r="A1" s="15">
        <v>45983</v>
      </c>
      <c r="B1" s="15"/>
      <c r="C1" s="10"/>
      <c r="D1" s="15">
        <v>45984</v>
      </c>
      <c r="E1" s="15"/>
      <c r="F1" s="10"/>
      <c r="G1" s="15">
        <v>45985</v>
      </c>
      <c r="H1" s="15"/>
      <c r="I1" s="10"/>
      <c r="J1" s="10"/>
      <c r="K1" s="10"/>
      <c r="L1" s="10"/>
      <c r="M1" s="10"/>
      <c r="N1" s="10"/>
      <c r="O1" s="10"/>
    </row>
    <row r="2" spans="1:15" x14ac:dyDescent="0.3">
      <c r="A2" s="10"/>
      <c r="B2" s="11"/>
      <c r="C2" s="10"/>
      <c r="D2" s="10" t="s">
        <v>45</v>
      </c>
      <c r="E2" s="11">
        <v>20</v>
      </c>
      <c r="F2" s="10"/>
      <c r="G2" s="10" t="s">
        <v>45</v>
      </c>
      <c r="H2" s="11">
        <v>0</v>
      </c>
      <c r="I2" s="10"/>
      <c r="J2" s="10"/>
      <c r="K2" s="10"/>
      <c r="L2" s="10"/>
      <c r="M2" s="10" t="s">
        <v>23</v>
      </c>
      <c r="N2" s="11">
        <f>SUM(B2:B44)</f>
        <v>1045</v>
      </c>
      <c r="O2" s="10"/>
    </row>
    <row r="3" spans="1:15" x14ac:dyDescent="0.3">
      <c r="A3" s="10" t="s">
        <v>3</v>
      </c>
      <c r="B3" s="11">
        <v>360</v>
      </c>
      <c r="C3" s="10"/>
      <c r="D3" s="10" t="s">
        <v>36</v>
      </c>
      <c r="E3" s="11">
        <v>30</v>
      </c>
      <c r="F3" s="10"/>
      <c r="G3" s="10" t="s">
        <v>7</v>
      </c>
      <c r="H3" s="11">
        <v>0</v>
      </c>
      <c r="I3" s="10"/>
      <c r="J3" s="10"/>
      <c r="K3" s="10"/>
      <c r="L3" s="10"/>
      <c r="M3" s="10" t="s">
        <v>25</v>
      </c>
      <c r="N3" s="11">
        <f>SUM(E2:E25)</f>
        <v>1435</v>
      </c>
      <c r="O3" s="10"/>
    </row>
    <row r="4" spans="1:15" x14ac:dyDescent="0.3">
      <c r="A4" s="10" t="s">
        <v>36</v>
      </c>
      <c r="B4" s="11">
        <v>30</v>
      </c>
      <c r="C4" s="10"/>
      <c r="D4" s="10" t="s">
        <v>7</v>
      </c>
      <c r="E4" s="11">
        <v>40</v>
      </c>
      <c r="F4" s="10"/>
      <c r="G4" s="10" t="s">
        <v>0</v>
      </c>
      <c r="H4" s="11">
        <v>0</v>
      </c>
      <c r="I4" s="10"/>
      <c r="J4" s="10" t="s">
        <v>51</v>
      </c>
      <c r="K4" s="11">
        <v>0</v>
      </c>
      <c r="L4" s="10"/>
      <c r="M4" s="10" t="s">
        <v>27</v>
      </c>
      <c r="N4" s="11">
        <f>SUM(H2:H17)</f>
        <v>0</v>
      </c>
      <c r="O4" s="10"/>
    </row>
    <row r="5" spans="1:15" x14ac:dyDescent="0.3">
      <c r="A5" s="10" t="s">
        <v>43</v>
      </c>
      <c r="B5" s="11">
        <v>35</v>
      </c>
      <c r="C5" s="10"/>
      <c r="D5" s="10" t="s">
        <v>0</v>
      </c>
      <c r="E5" s="11">
        <v>325</v>
      </c>
      <c r="F5" s="10"/>
      <c r="G5" s="10" t="s">
        <v>29</v>
      </c>
      <c r="H5" s="11">
        <v>0</v>
      </c>
      <c r="I5" s="10"/>
      <c r="J5" s="10"/>
      <c r="K5" s="11"/>
      <c r="L5" s="10"/>
      <c r="M5" s="10"/>
      <c r="N5" s="10"/>
      <c r="O5" s="10"/>
    </row>
    <row r="6" spans="1:15" x14ac:dyDescent="0.3">
      <c r="A6" s="10" t="s">
        <v>7</v>
      </c>
      <c r="B6" s="11">
        <v>20</v>
      </c>
      <c r="C6" s="10"/>
      <c r="D6" s="10" t="s">
        <v>4</v>
      </c>
      <c r="E6" s="11">
        <v>100</v>
      </c>
      <c r="F6" s="10" t="s">
        <v>35</v>
      </c>
      <c r="G6" s="10" t="s">
        <v>4</v>
      </c>
      <c r="H6" s="11">
        <v>0</v>
      </c>
      <c r="I6" s="10"/>
      <c r="J6" s="10"/>
      <c r="K6" s="10"/>
      <c r="L6" s="10"/>
      <c r="M6" s="9" t="s">
        <v>54</v>
      </c>
      <c r="N6" s="12">
        <f>SUM(N2:N4)</f>
        <v>2480</v>
      </c>
      <c r="O6" s="10"/>
    </row>
    <row r="7" spans="1:15" x14ac:dyDescent="0.3">
      <c r="A7" s="10" t="s">
        <v>0</v>
      </c>
      <c r="B7" s="11">
        <v>163</v>
      </c>
      <c r="C7" s="10"/>
      <c r="D7" s="10" t="s">
        <v>56</v>
      </c>
      <c r="E7" s="11">
        <v>40</v>
      </c>
      <c r="F7" s="10" t="s">
        <v>35</v>
      </c>
      <c r="G7" s="10" t="s">
        <v>48</v>
      </c>
      <c r="H7" s="11">
        <v>0</v>
      </c>
      <c r="I7" s="10"/>
      <c r="J7" s="10"/>
      <c r="K7" s="10"/>
      <c r="L7" s="10"/>
      <c r="M7" s="10"/>
      <c r="N7" s="10"/>
      <c r="O7" s="10"/>
    </row>
    <row r="8" spans="1:15" x14ac:dyDescent="0.3">
      <c r="A8" s="10" t="s">
        <v>29</v>
      </c>
      <c r="B8" s="11">
        <v>60</v>
      </c>
      <c r="C8" s="10"/>
      <c r="D8" s="10" t="s">
        <v>1</v>
      </c>
      <c r="E8" s="11">
        <v>60</v>
      </c>
      <c r="F8" s="10"/>
      <c r="G8" s="10" t="s">
        <v>3</v>
      </c>
      <c r="H8" s="11">
        <v>0</v>
      </c>
      <c r="I8" s="10"/>
      <c r="J8" s="10"/>
      <c r="K8" s="10"/>
      <c r="L8" s="10" t="s">
        <v>35</v>
      </c>
      <c r="M8" s="9" t="s">
        <v>37</v>
      </c>
      <c r="N8" s="12">
        <f>SUM(K4:K5)</f>
        <v>0</v>
      </c>
      <c r="O8" s="10"/>
    </row>
    <row r="9" spans="1:15" x14ac:dyDescent="0.3">
      <c r="A9" s="10" t="s">
        <v>4</v>
      </c>
      <c r="B9" s="11">
        <v>50</v>
      </c>
      <c r="C9" s="10"/>
      <c r="D9" s="9" t="s">
        <v>38</v>
      </c>
      <c r="E9" s="12">
        <v>40</v>
      </c>
      <c r="F9" s="10"/>
      <c r="G9" s="10" t="s">
        <v>47</v>
      </c>
      <c r="H9" s="11">
        <v>0</v>
      </c>
      <c r="I9" s="10"/>
      <c r="J9" s="10"/>
      <c r="K9" s="10"/>
      <c r="L9" s="10"/>
      <c r="M9" s="10"/>
      <c r="N9" s="10"/>
      <c r="O9" s="10"/>
    </row>
    <row r="10" spans="1:15" x14ac:dyDescent="0.3">
      <c r="A10" s="10" t="s">
        <v>2</v>
      </c>
      <c r="B10" s="11">
        <v>97</v>
      </c>
      <c r="C10" s="10"/>
      <c r="D10" s="9" t="s">
        <v>57</v>
      </c>
      <c r="E10" s="12">
        <v>130</v>
      </c>
      <c r="F10" s="10"/>
      <c r="G10" s="9" t="s">
        <v>49</v>
      </c>
      <c r="H10" s="12">
        <v>0</v>
      </c>
      <c r="I10" s="10"/>
      <c r="J10" s="10" t="s">
        <v>55</v>
      </c>
      <c r="K10" s="11">
        <v>53</v>
      </c>
      <c r="L10" s="10"/>
      <c r="M10" s="10" t="s">
        <v>34</v>
      </c>
      <c r="N10" s="11">
        <f>N6+N8</f>
        <v>2480</v>
      </c>
      <c r="O10" s="10"/>
    </row>
    <row r="11" spans="1:15" x14ac:dyDescent="0.3">
      <c r="A11" s="10" t="s">
        <v>30</v>
      </c>
      <c r="B11" s="11">
        <v>15</v>
      </c>
      <c r="C11" s="10"/>
      <c r="D11" s="9" t="s">
        <v>58</v>
      </c>
      <c r="E11" s="9">
        <v>100</v>
      </c>
      <c r="F11" s="10"/>
      <c r="G11" s="9" t="s">
        <v>50</v>
      </c>
      <c r="H11" s="12">
        <v>0</v>
      </c>
      <c r="I11" s="10"/>
      <c r="J11" s="10" t="s">
        <v>53</v>
      </c>
      <c r="K11" s="10">
        <f>N6/K10</f>
        <v>46.79245283018868</v>
      </c>
      <c r="L11" s="10"/>
      <c r="M11" s="10"/>
      <c r="N11" s="10"/>
      <c r="O11" s="10"/>
    </row>
    <row r="12" spans="1:15" x14ac:dyDescent="0.3">
      <c r="A12" s="10" t="s">
        <v>31</v>
      </c>
      <c r="B12" s="11">
        <v>20</v>
      </c>
      <c r="C12" s="10"/>
      <c r="D12" s="9" t="s">
        <v>2</v>
      </c>
      <c r="E12" s="12">
        <v>190</v>
      </c>
      <c r="F12" s="10"/>
      <c r="G12" s="9" t="s">
        <v>52</v>
      </c>
      <c r="H12" s="12">
        <v>0</v>
      </c>
      <c r="I12" s="10"/>
      <c r="J12" s="10"/>
      <c r="K12" s="10"/>
      <c r="L12" s="10"/>
      <c r="M12" s="10" t="s">
        <v>42</v>
      </c>
      <c r="N12" s="11">
        <f>2000-N10</f>
        <v>-480</v>
      </c>
      <c r="O12" s="10"/>
    </row>
    <row r="13" spans="1:15" x14ac:dyDescent="0.3">
      <c r="A13" s="10" t="s">
        <v>32</v>
      </c>
      <c r="B13" s="11">
        <v>50</v>
      </c>
      <c r="C13" s="10"/>
      <c r="D13" s="9" t="s">
        <v>14</v>
      </c>
      <c r="E13" s="9">
        <v>360</v>
      </c>
      <c r="F13" s="10"/>
      <c r="G13" s="9" t="s">
        <v>14</v>
      </c>
      <c r="H13" s="9">
        <v>0</v>
      </c>
      <c r="I13" s="10"/>
      <c r="J13" s="10"/>
      <c r="K13" s="10"/>
      <c r="L13" s="10"/>
      <c r="M13" s="10"/>
      <c r="N13" s="10"/>
      <c r="O13" s="10"/>
    </row>
    <row r="14" spans="1:15" x14ac:dyDescent="0.3">
      <c r="A14" s="10" t="s">
        <v>1</v>
      </c>
      <c r="B14" s="11">
        <v>50</v>
      </c>
      <c r="C14" s="10"/>
      <c r="F14" s="10"/>
      <c r="I14" s="10"/>
      <c r="J14" s="11"/>
      <c r="K14" s="10"/>
      <c r="L14" s="10"/>
      <c r="M14" s="10"/>
      <c r="N14" s="10"/>
      <c r="O14" s="10"/>
    </row>
    <row r="15" spans="1:15" x14ac:dyDescent="0.2">
      <c r="B15" s="12"/>
      <c r="E15" s="9" t="s">
        <v>35</v>
      </c>
    </row>
    <row r="16" spans="1:15" x14ac:dyDescent="0.2">
      <c r="A16" s="9" t="s">
        <v>46</v>
      </c>
      <c r="B16" s="12">
        <v>45</v>
      </c>
    </row>
    <row r="17" spans="1:6" x14ac:dyDescent="0.2">
      <c r="A17" s="9" t="s">
        <v>33</v>
      </c>
      <c r="B17" s="12">
        <v>50</v>
      </c>
      <c r="C17" s="9" t="s">
        <v>35</v>
      </c>
      <c r="F17" s="9" t="s">
        <v>35</v>
      </c>
    </row>
  </sheetData>
  <mergeCells count="3">
    <mergeCell ref="A1:B1"/>
    <mergeCell ref="D1:E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Aug,25</vt:lpstr>
      <vt:lpstr>Sept,25</vt:lpstr>
      <vt:lpstr>Oct,25</vt:lpstr>
      <vt:lpstr>Nov,25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SM-M156S</dc:creator>
  <cp:lastModifiedBy>Habibur Rahman</cp:lastModifiedBy>
  <dcterms:created xsi:type="dcterms:W3CDTF">2025-07-09T06:28:35Z</dcterms:created>
  <dcterms:modified xsi:type="dcterms:W3CDTF">2025-11-24T04:28:11Z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767399acd49f400b8df735b3f79cee86</vt:lpwstr>
  </property>
</Properties>
</file>